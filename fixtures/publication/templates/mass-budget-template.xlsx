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Calculation" sheetId="3" state="visible" r:id="rId5"/>
    <sheet name="Outputs" sheetId="4" state="visible" r:id="rId6"/>
    <sheet name="Envelope" sheetId="5" state="visible" r:id="rId7"/>
  </sheets>
  <definedNames>
    <definedName function="false" hidden="false" name="EDA_ENV_AUTHOR" vbProcedure="false">Envelope!$C$10</definedName>
    <definedName function="false" hidden="false" name="EDA_ENV_CLASSIFICATION" vbProcedure="false">Envelope!$C$11</definedName>
    <definedName function="false" hidden="false" name="EDA_ENV_CONFIG" vbProcedure="false">Envelope!$C$8</definedName>
    <definedName function="false" hidden="false" name="EDA_ENV_EXPORT_CONTROL" vbProcedure="false">Envelope!$C$12</definedName>
    <definedName function="false" hidden="false" name="EDA_ENV_MODEL_REF" vbProcedure="false">Envelope!$C$9</definedName>
    <definedName function="false" hidden="false" name="EDA_ENV_PROGRAMME" vbProcedure="false">Envelope!$C$7</definedName>
    <definedName function="false" hidden="false" name="EDA_ENV_RESULT_ID" vbProcedure="false">Envelope!$C$4</definedName>
    <definedName function="false" hidden="false" name="EDA_ENV_TEMPLATE" vbProcedure="false">Envelope!$C$6</definedName>
    <definedName function="false" hidden="false" name="EDA_ENV_TITLE" vbProcedure="false">Envelope!$C$5</definedName>
    <definedName function="false" hidden="false" name="EDA_IN_MASS_LIMIT" vbProcedure="false">Inputs!$C$4</definedName>
    <definedName function="false" hidden="false" name="EDA_IN_M_EDP" vbProcedure="false">Inputs!$C$5</definedName>
    <definedName function="false" hidden="false" name="EDA_IN_M_EHA" vbProcedure="false">Inputs!$C$7</definedName>
    <definedName function="false" hidden="false" name="EDA_IN_M_EMP" vbProcedure="false">Inputs!$C$6</definedName>
    <definedName function="false" hidden="false" name="EDA_IN_M_REST" vbProcedure="false">Inputs!$C$9</definedName>
    <definedName function="false" hidden="false" name="EDA_IN_M_SNS" vbProcedure="false">Inputs!$C$8</definedName>
    <definedName function="false" hidden="false" name="EDA_OUT_MARGIN" vbProcedure="false">Outputs!$C$5</definedName>
    <definedName function="false" hidden="false" name="EDA_OUT_STATUS" vbProcedure="false">Outputs!$C$6</definedName>
    <definedName function="false" hidden="false" name="EDA_OUT_TOTAL_MASS" vbProcedure="false">Outputs!$C$4</definedName>
    <definedName function="false" hidden="false" name="EDA_PAR_INSTALL_ALLOWANCE" vbProcedure="false">Inputs!$C$14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Pulled from HYD-REQ-041 (Polarion) by eda inputs pull. Illustrative value.</t>
        </r>
      </text>
    </comment>
  </commentList>
</comments>
</file>

<file path=xl/sharedStrings.xml><?xml version="1.0" encoding="utf-8"?>
<sst xmlns="http://schemas.openxmlformats.org/spreadsheetml/2006/main" count="142" uniqueCount="103">
  <si>
    <t xml:space="preserve">Controlled template EDA-TPL-MASS-BUDGET v1.0 — system mass budget</t>
  </si>
  <si>
    <t xml:space="preserve">Publishable through the publication kit only (FR-G20). Do not rename sheets or defined names.</t>
  </si>
  <si>
    <t xml:space="preserve">Legend</t>
  </si>
  <si>
    <t xml:space="preserve">Grey cells: filled by `eda inputs pull` from the platform, with source and version. Do not type in them (FR-G19).</t>
  </si>
  <si>
    <t xml:space="preserve">Yellow cells with blue text: local parameters you may edit; they are published with the result.</t>
  </si>
  <si>
    <t xml:space="preserve">Green text: outputs read by `eda publish`. Black text: formulas. Do not overwrite.</t>
  </si>
  <si>
    <t xml:space="preserve">Workflow</t>
  </si>
  <si>
    <t xml:space="preserve">1. eda inputs pull mass-budget.xlsx      → fills the grey cells and records versions</t>
  </si>
  <si>
    <t xml:space="preserve">2. Work on local parameters; the sheet recalculates.</t>
  </si>
  <si>
    <t xml:space="preserve">3. eda publish mass-budget.xlsx          → reads EDA_OUT_* and the Envelope sheet, publishes the package</t>
  </si>
  <si>
    <t xml:space="preserve">Example values are illustrative (AERO-7 reference scenario), not real component masses.</t>
  </si>
  <si>
    <t xml:space="preserve">Inputs read from the platform (filled by eda inputs pull)</t>
  </si>
  <si>
    <t xml:space="preserve">Defined name</t>
  </si>
  <si>
    <t xml:space="preserve">Description</t>
  </si>
  <si>
    <t xml:space="preserve">Value</t>
  </si>
  <si>
    <t xml:space="preserve">Unit</t>
  </si>
  <si>
    <t xml:space="preserve">Source native ID</t>
  </si>
  <si>
    <t xml:space="preserve">Source URI</t>
  </si>
  <si>
    <t xml:space="preserve">Version</t>
  </si>
  <si>
    <t xml:space="preserve">Read at (UTC)</t>
  </si>
  <si>
    <t xml:space="preserve">EDA_IN_MASS_LIMIT</t>
  </si>
  <si>
    <t xml:space="preserve">System mass limit</t>
  </si>
  <si>
    <t xml:space="preserve">kg</t>
  </si>
  <si>
    <t xml:space="preserve">HYD-REQ-041</t>
  </si>
  <si>
    <t xml:space="preserve">https://eda.example.org/r/pol/9531985d-5d9d-49f8-9818-e811892f902b</t>
  </si>
  <si>
    <t xml:space="preserve">3</t>
  </si>
  <si>
    <t xml:space="preserve">2026-10-02T09:40:00Z</t>
  </si>
  <si>
    <t xml:space="preserve">EDA_IN_M_EDP</t>
  </si>
  <si>
    <t xml:space="preserve">Engine-driven pump</t>
  </si>
  <si>
    <t xml:space="preserve">29-4410-01</t>
  </si>
  <si>
    <t xml:space="preserve">https://eda.example.org/r/tc/0fd630f1-f29d-4da9-953f-48f1a09f76b5</t>
  </si>
  <si>
    <t xml:space="preserve">A</t>
  </si>
  <si>
    <t xml:space="preserve">EDA_IN_M_EMP</t>
  </si>
  <si>
    <t xml:space="preserve">Emergency electric pump</t>
  </si>
  <si>
    <t xml:space="preserve">29-4520-03</t>
  </si>
  <si>
    <t xml:space="preserve">https://eda.example.org/r/tc/0cb1e29c-658c-4a14-95e6-0af593bd04cf</t>
  </si>
  <si>
    <t xml:space="preserve">B</t>
  </si>
  <si>
    <t xml:space="preserve">EDA_IN_M_EHA</t>
  </si>
  <si>
    <t xml:space="preserve">EHA actuator</t>
  </si>
  <si>
    <t xml:space="preserve">29-4610-02</t>
  </si>
  <si>
    <t xml:space="preserve">https://eda.example.org/r/tc/8e81973e-0bec-47b0-b898-d190f9ebdacc</t>
  </si>
  <si>
    <t xml:space="preserve">EDA_IN_M_SNS</t>
  </si>
  <si>
    <t xml:space="preserve">Smart pressure sensor</t>
  </si>
  <si>
    <t xml:space="preserve">29-4705-01</t>
  </si>
  <si>
    <t xml:space="preserve">https://eda.example.org/r/tc/6b4cb242-4a23-4596-a217-beaddbc496cb</t>
  </si>
  <si>
    <t xml:space="preserve">EDA_IN_M_REST</t>
  </si>
  <si>
    <t xml:space="preserve">Rest of system: lines, reservoir, fluid</t>
  </si>
  <si>
    <t xml:space="preserve">29-4000-00/C</t>
  </si>
  <si>
    <t xml:space="preserve">https://eda.example.org/r/tc/a170b338-3926-4059-b28c-105d1fb17c23</t>
  </si>
  <si>
    <t xml:space="preserve">C</t>
  </si>
  <si>
    <t xml:space="preserve">Local parameters (editable)</t>
  </si>
  <si>
    <t xml:space="preserve">Rationale</t>
  </si>
  <si>
    <t xml:space="preserve">EDA_PAR_INSTALL_ALLOWANCE</t>
  </si>
  <si>
    <t xml:space="preserve">Installation allowance: brackets, fasteners, clamps</t>
  </si>
  <si>
    <t xml:space="preserve">Engineering estimate at concept phase; replace with bottom-up masses at PDR</t>
  </si>
  <si>
    <t xml:space="preserve">Mass budget</t>
  </si>
  <si>
    <t xml:space="preserve">Item</t>
  </si>
  <si>
    <t xml:space="preserve">Component masses (sum of inputs)</t>
  </si>
  <si>
    <t xml:space="preserve">Installation allowance</t>
  </si>
  <si>
    <t xml:space="preserve">Total system mass</t>
  </si>
  <si>
    <t xml:space="preserve">Mass limit (HYD-REQ-041)</t>
  </si>
  <si>
    <t xml:space="preserve">Margin</t>
  </si>
  <si>
    <t xml:space="preserve">Margin as share of limit</t>
  </si>
  <si>
    <t xml:space="preserve">Outputs published with the result</t>
  </si>
  <si>
    <t xml:space="preserve">EDA_OUT_TOTAL_MASS</t>
  </si>
  <si>
    <t xml:space="preserve">EDA_OUT_MARGIN</t>
  </si>
  <si>
    <t xml:space="preserve">Margin against HYD-REQ-041</t>
  </si>
  <si>
    <t xml:space="preserve">EDA_OUT_STATUS</t>
  </si>
  <si>
    <t xml:space="preserve">Compliance with HYD-REQ-041</t>
  </si>
  <si>
    <t xml:space="preserve">—</t>
  </si>
  <si>
    <t xml:space="preserve">Publication envelope (filled by the publication kit unless marked engineer)</t>
  </si>
  <si>
    <t xml:space="preserve">Field</t>
  </si>
  <si>
    <t xml:space="preserve">Filled by</t>
  </si>
  <si>
    <t xml:space="preserve">EDA_ENV_RESULT_ID</t>
  </si>
  <si>
    <t xml:space="preserve">Result identifier</t>
  </si>
  <si>
    <t xml:space="preserve">CALC-HYD-03</t>
  </si>
  <si>
    <t xml:space="preserve">kit</t>
  </si>
  <si>
    <t xml:space="preserve">EDA_ENV_TITLE</t>
  </si>
  <si>
    <t xml:space="preserve">Title</t>
  </si>
  <si>
    <t xml:space="preserve">Hydraulic system 3 — mass budget</t>
  </si>
  <si>
    <t xml:space="preserve">engineer</t>
  </si>
  <si>
    <t xml:space="preserve">EDA_ENV_TEMPLATE</t>
  </si>
  <si>
    <t xml:space="preserve">Template id and version</t>
  </si>
  <si>
    <t xml:space="preserve">EDA-TPL-MASS-BUDGET 1.0</t>
  </si>
  <si>
    <t xml:space="preserve">template</t>
  </si>
  <si>
    <t xml:space="preserve">EDA_ENV_PROGRAMME</t>
  </si>
  <si>
    <t xml:space="preserve">Programme</t>
  </si>
  <si>
    <t xml:space="preserve">AERO-7</t>
  </si>
  <si>
    <t xml:space="preserve">EDA_ENV_CONFIG</t>
  </si>
  <si>
    <t xml:space="preserve">Configuration context</t>
  </si>
  <si>
    <t xml:space="preserve">GC-AERO7-WIP</t>
  </si>
  <si>
    <t xml:space="preserve">EDA_ENV_MODEL_REF</t>
  </si>
  <si>
    <t xml:space="preserve">Repository and immutable reference</t>
  </si>
  <si>
    <t xml:space="preserve">git:hyd-calcs@9c41e07</t>
  </si>
  <si>
    <t xml:space="preserve">EDA_ENV_AUTHOR</t>
  </si>
  <si>
    <t xml:space="preserve">Author</t>
  </si>
  <si>
    <t xml:space="preserve">mass.engineer@example.org</t>
  </si>
  <si>
    <t xml:space="preserve">EDA_ENV_CLASSIFICATION</t>
  </si>
  <si>
    <t xml:space="preserve">Security classification</t>
  </si>
  <si>
    <t xml:space="preserve">internal</t>
  </si>
  <si>
    <t xml:space="preserve">EDA_ENV_EXPORT_CONTROL</t>
  </si>
  <si>
    <t xml:space="preserve">Export control</t>
  </si>
  <si>
    <t xml:space="preserve">none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</si>
</sst>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7EEF0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CC"/>
      </left>
      <right style="thin">
        <color rgb="FFBFC9CC"/>
      </right>
      <top style="thin">
        <color rgb="FFBFC9CC"/>
      </top>
      <bottom style="thin">
        <color rgb="FFBFC9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CC"/>
      <rgbColor rgb="FF808080"/>
      <rgbColor rgb="FF9999FF"/>
      <rgbColor rgb="FF993366"/>
      <rgbColor rgb="FFFFFFCC"/>
      <rgbColor rgb="FFE7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6" min="6" style="0" width="64"/>
    <col collapsed="false" customWidth="true" hidden="false" outlineLevel="0" max="7" min="7" style="0" width="9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1" t="s">
        <v>11</v>
      </c>
    </row>
    <row r="3" customFormat="false" ht="15" hidden="false" customHeight="fals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</row>
    <row r="4" customFormat="false" ht="15" hidden="false" customHeight="false" outlineLevel="0" collapsed="false">
      <c r="A4" s="5" t="s">
        <v>20</v>
      </c>
      <c r="B4" s="5" t="s">
        <v>21</v>
      </c>
      <c r="C4" s="6" t="n">
        <v>118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</row>
    <row r="5" customFormat="false" ht="15" hidden="false" customHeight="false" outlineLevel="0" collapsed="false">
      <c r="A5" s="5" t="s">
        <v>27</v>
      </c>
      <c r="B5" s="5" t="s">
        <v>28</v>
      </c>
      <c r="C5" s="6" t="n">
        <v>6.8</v>
      </c>
      <c r="D5" s="7" t="s">
        <v>22</v>
      </c>
      <c r="E5" s="7" t="s">
        <v>29</v>
      </c>
      <c r="F5" s="7" t="s">
        <v>30</v>
      </c>
      <c r="G5" s="7" t="s">
        <v>31</v>
      </c>
      <c r="H5" s="7" t="s">
        <v>26</v>
      </c>
    </row>
    <row r="6" customFormat="false" ht="15" hidden="false" customHeight="false" outlineLevel="0" collapsed="false">
      <c r="A6" s="5" t="s">
        <v>32</v>
      </c>
      <c r="B6" s="5" t="s">
        <v>33</v>
      </c>
      <c r="C6" s="6" t="n">
        <v>9.5</v>
      </c>
      <c r="D6" s="7" t="s">
        <v>22</v>
      </c>
      <c r="E6" s="7" t="s">
        <v>34</v>
      </c>
      <c r="F6" s="7" t="s">
        <v>35</v>
      </c>
      <c r="G6" s="7" t="s">
        <v>36</v>
      </c>
      <c r="H6" s="7" t="s">
        <v>26</v>
      </c>
    </row>
    <row r="7" customFormat="false" ht="15" hidden="false" customHeight="false" outlineLevel="0" collapsed="false">
      <c r="A7" s="5" t="s">
        <v>37</v>
      </c>
      <c r="B7" s="5" t="s">
        <v>38</v>
      </c>
      <c r="C7" s="6" t="n">
        <v>14.2</v>
      </c>
      <c r="D7" s="7" t="s">
        <v>22</v>
      </c>
      <c r="E7" s="7" t="s">
        <v>39</v>
      </c>
      <c r="F7" s="7" t="s">
        <v>40</v>
      </c>
      <c r="G7" s="7" t="s">
        <v>31</v>
      </c>
      <c r="H7" s="7" t="s">
        <v>26</v>
      </c>
    </row>
    <row r="8" customFormat="false" ht="15" hidden="false" customHeight="false" outlineLevel="0" collapsed="false">
      <c r="A8" s="5" t="s">
        <v>41</v>
      </c>
      <c r="B8" s="5" t="s">
        <v>42</v>
      </c>
      <c r="C8" s="6" t="n">
        <v>0.4</v>
      </c>
      <c r="D8" s="7" t="s">
        <v>22</v>
      </c>
      <c r="E8" s="7" t="s">
        <v>43</v>
      </c>
      <c r="F8" s="7" t="s">
        <v>44</v>
      </c>
      <c r="G8" s="7" t="s">
        <v>31</v>
      </c>
      <c r="H8" s="7" t="s">
        <v>26</v>
      </c>
    </row>
    <row r="9" customFormat="false" ht="15" hidden="false" customHeight="false" outlineLevel="0" collapsed="false">
      <c r="A9" s="5" t="s">
        <v>45</v>
      </c>
      <c r="B9" s="5" t="s">
        <v>46</v>
      </c>
      <c r="C9" s="6" t="n">
        <v>72.6</v>
      </c>
      <c r="D9" s="7" t="s">
        <v>22</v>
      </c>
      <c r="E9" s="7" t="s">
        <v>47</v>
      </c>
      <c r="F9" s="7" t="s">
        <v>48</v>
      </c>
      <c r="G9" s="7" t="s">
        <v>49</v>
      </c>
      <c r="H9" s="7" t="s">
        <v>26</v>
      </c>
    </row>
    <row r="12" customFormat="false" ht="15" hidden="false" customHeight="false" outlineLevel="0" collapsed="false">
      <c r="A12" s="1" t="s">
        <v>50</v>
      </c>
    </row>
    <row r="13" customFormat="false" ht="15" hidden="false" customHeight="false" outlineLevel="0" collapsed="false">
      <c r="A13" s="4" t="s">
        <v>12</v>
      </c>
      <c r="B13" s="4" t="s">
        <v>13</v>
      </c>
      <c r="C13" s="4" t="s">
        <v>14</v>
      </c>
      <c r="D13" s="4" t="s">
        <v>15</v>
      </c>
      <c r="E13" s="4" t="s">
        <v>51</v>
      </c>
      <c r="F13" s="4"/>
      <c r="G13" s="4"/>
      <c r="H13" s="4"/>
    </row>
    <row r="14" customFormat="false" ht="15" hidden="false" customHeight="false" outlineLevel="0" collapsed="false">
      <c r="A14" s="5" t="s">
        <v>52</v>
      </c>
      <c r="B14" s="5" t="s">
        <v>53</v>
      </c>
      <c r="C14" s="8" t="n">
        <v>5</v>
      </c>
      <c r="D14" s="5" t="s">
        <v>22</v>
      </c>
      <c r="E14" s="5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7"/>
  </cols>
  <sheetData>
    <row r="1" customFormat="false" ht="15" hidden="false" customHeight="false" outlineLevel="0" collapsed="false">
      <c r="A1" s="1" t="s">
        <v>55</v>
      </c>
    </row>
    <row r="3" customFormat="false" ht="15" hidden="false" customHeight="false" outlineLevel="0" collapsed="false">
      <c r="A3" s="4" t="s">
        <v>56</v>
      </c>
      <c r="B3" s="4" t="s">
        <v>14</v>
      </c>
      <c r="C3" s="4" t="s">
        <v>15</v>
      </c>
    </row>
    <row r="4" customFormat="false" ht="15" hidden="false" customHeight="false" outlineLevel="0" collapsed="false">
      <c r="A4" s="5" t="s">
        <v>57</v>
      </c>
      <c r="B4" s="9" t="n">
        <f aca="false">EDA_IN_M_EDP+EDA_IN_M_EMP+EDA_IN_M_EHA+EDA_IN_M_SNS+EDA_IN_M_REST</f>
        <v>103.5</v>
      </c>
      <c r="C4" s="5" t="s">
        <v>22</v>
      </c>
    </row>
    <row r="5" customFormat="false" ht="15" hidden="false" customHeight="false" outlineLevel="0" collapsed="false">
      <c r="A5" s="5" t="s">
        <v>58</v>
      </c>
      <c r="B5" s="9" t="n">
        <f aca="false">EDA_PAR_INSTALL_ALLOWANCE</f>
        <v>5</v>
      </c>
      <c r="C5" s="5" t="s">
        <v>22</v>
      </c>
    </row>
    <row r="6" customFormat="false" ht="15" hidden="false" customHeight="false" outlineLevel="0" collapsed="false">
      <c r="A6" s="5" t="s">
        <v>59</v>
      </c>
      <c r="B6" s="9" t="n">
        <f aca="false">B4+B5</f>
        <v>108.5</v>
      </c>
      <c r="C6" s="5" t="s">
        <v>22</v>
      </c>
    </row>
    <row r="7" customFormat="false" ht="15" hidden="false" customHeight="false" outlineLevel="0" collapsed="false">
      <c r="A7" s="5" t="s">
        <v>60</v>
      </c>
      <c r="B7" s="9" t="n">
        <f aca="false">EDA_IN_MASS_LIMIT</f>
        <v>118</v>
      </c>
      <c r="C7" s="5" t="s">
        <v>22</v>
      </c>
    </row>
    <row r="8" customFormat="false" ht="15" hidden="false" customHeight="false" outlineLevel="0" collapsed="false">
      <c r="A8" s="5" t="s">
        <v>61</v>
      </c>
      <c r="B8" s="9" t="n">
        <f aca="false">B7-B6</f>
        <v>9.5</v>
      </c>
      <c r="C8" s="5" t="s">
        <v>22</v>
      </c>
    </row>
    <row r="9" customFormat="false" ht="15" hidden="false" customHeight="false" outlineLevel="0" collapsed="false">
      <c r="A9" s="5" t="s">
        <v>62</v>
      </c>
      <c r="B9" s="10" t="n">
        <f aca="false">IF(B7=0,0,B8/B7)</f>
        <v>0.0805084745762712</v>
      </c>
      <c r="C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7"/>
  </cols>
  <sheetData>
    <row r="1" customFormat="false" ht="15" hidden="false" customHeight="false" outlineLevel="0" collapsed="false">
      <c r="A1" s="1" t="s">
        <v>63</v>
      </c>
    </row>
    <row r="3" customFormat="false" ht="15" hidden="false" customHeight="false" outlineLevel="0" collapsed="false">
      <c r="A3" s="4" t="s">
        <v>12</v>
      </c>
      <c r="B3" s="4" t="s">
        <v>13</v>
      </c>
      <c r="C3" s="4" t="s">
        <v>14</v>
      </c>
      <c r="D3" s="4" t="s">
        <v>15</v>
      </c>
    </row>
    <row r="4" customFormat="false" ht="15" hidden="false" customHeight="false" outlineLevel="0" collapsed="false">
      <c r="A4" s="5" t="s">
        <v>64</v>
      </c>
      <c r="B4" s="5" t="s">
        <v>59</v>
      </c>
      <c r="C4" s="11" t="n">
        <f aca="false">Calculation!B6</f>
        <v>108.5</v>
      </c>
      <c r="D4" s="5" t="s">
        <v>22</v>
      </c>
    </row>
    <row r="5" customFormat="false" ht="15" hidden="false" customHeight="false" outlineLevel="0" collapsed="false">
      <c r="A5" s="5" t="s">
        <v>65</v>
      </c>
      <c r="B5" s="5" t="s">
        <v>66</v>
      </c>
      <c r="C5" s="11" t="n">
        <f aca="false">Calculation!B8</f>
        <v>9.5</v>
      </c>
      <c r="D5" s="5" t="s">
        <v>22</v>
      </c>
    </row>
    <row r="6" customFormat="false" ht="15" hidden="false" customHeight="false" outlineLevel="0" collapsed="false">
      <c r="A6" s="5" t="s">
        <v>67</v>
      </c>
      <c r="B6" s="5" t="s">
        <v>68</v>
      </c>
      <c r="C6" s="12" t="str">
        <f aca="false">IF(Calculation!B8&gt;=0,"compliant","non-compliant")</f>
        <v>compliant</v>
      </c>
      <c r="D6" s="5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3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70</v>
      </c>
    </row>
    <row r="3" customFormat="false" ht="15" hidden="false" customHeight="false" outlineLevel="0" collapsed="false">
      <c r="A3" s="4" t="s">
        <v>12</v>
      </c>
      <c r="B3" s="4" t="s">
        <v>71</v>
      </c>
      <c r="C3" s="4" t="s">
        <v>14</v>
      </c>
      <c r="D3" s="4" t="s">
        <v>72</v>
      </c>
    </row>
    <row r="4" customFormat="false" ht="15" hidden="false" customHeight="false" outlineLevel="0" collapsed="false">
      <c r="A4" s="5" t="s">
        <v>73</v>
      </c>
      <c r="B4" s="5" t="s">
        <v>74</v>
      </c>
      <c r="C4" s="7" t="s">
        <v>75</v>
      </c>
      <c r="D4" s="5" t="s">
        <v>76</v>
      </c>
    </row>
    <row r="5" customFormat="false" ht="15" hidden="false" customHeight="false" outlineLevel="0" collapsed="false">
      <c r="A5" s="5" t="s">
        <v>77</v>
      </c>
      <c r="B5" s="5" t="s">
        <v>78</v>
      </c>
      <c r="C5" s="13" t="s">
        <v>79</v>
      </c>
      <c r="D5" s="5" t="s">
        <v>80</v>
      </c>
    </row>
    <row r="6" customFormat="false" ht="15" hidden="false" customHeight="false" outlineLevel="0" collapsed="false">
      <c r="A6" s="5" t="s">
        <v>81</v>
      </c>
      <c r="B6" s="5" t="s">
        <v>82</v>
      </c>
      <c r="C6" s="5" t="s">
        <v>83</v>
      </c>
      <c r="D6" s="5" t="s">
        <v>84</v>
      </c>
    </row>
    <row r="7" customFormat="false" ht="15" hidden="false" customHeight="false" outlineLevel="0" collapsed="false">
      <c r="A7" s="5" t="s">
        <v>85</v>
      </c>
      <c r="B7" s="5" t="s">
        <v>86</v>
      </c>
      <c r="C7" s="7" t="s">
        <v>87</v>
      </c>
      <c r="D7" s="5" t="s">
        <v>76</v>
      </c>
    </row>
    <row r="8" customFormat="false" ht="15" hidden="false" customHeight="false" outlineLevel="0" collapsed="false">
      <c r="A8" s="5" t="s">
        <v>88</v>
      </c>
      <c r="B8" s="5" t="s">
        <v>89</v>
      </c>
      <c r="C8" s="7" t="s">
        <v>90</v>
      </c>
      <c r="D8" s="5" t="s">
        <v>76</v>
      </c>
    </row>
    <row r="9" customFormat="false" ht="15" hidden="false" customHeight="false" outlineLevel="0" collapsed="false">
      <c r="A9" s="5" t="s">
        <v>91</v>
      </c>
      <c r="B9" s="5" t="s">
        <v>92</v>
      </c>
      <c r="C9" s="7" t="s">
        <v>93</v>
      </c>
      <c r="D9" s="5" t="s">
        <v>76</v>
      </c>
    </row>
    <row r="10" customFormat="false" ht="15" hidden="false" customHeight="false" outlineLevel="0" collapsed="false">
      <c r="A10" s="5" t="s">
        <v>94</v>
      </c>
      <c r="B10" s="5" t="s">
        <v>95</v>
      </c>
      <c r="C10" s="7" t="s">
        <v>96</v>
      </c>
      <c r="D10" s="5" t="s">
        <v>76</v>
      </c>
    </row>
    <row r="11" customFormat="false" ht="15" hidden="false" customHeight="false" outlineLevel="0" collapsed="false">
      <c r="A11" s="5" t="s">
        <v>97</v>
      </c>
      <c r="B11" s="5" t="s">
        <v>98</v>
      </c>
      <c r="C11" s="13" t="s">
        <v>99</v>
      </c>
      <c r="D11" s="5" t="s">
        <v>80</v>
      </c>
    </row>
    <row r="12" customFormat="false" ht="15" hidden="false" customHeight="false" outlineLevel="0" collapsed="false">
      <c r="A12" s="5" t="s">
        <v>100</v>
      </c>
      <c r="B12" s="5" t="s">
        <v>101</v>
      </c>
      <c r="C12" s="13" t="s">
        <v>102</v>
      </c>
      <c r="D12" s="5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2026-10-02T11:23:38Z</dcterms:created>
  <dc:creator>openpyxl</dc:creator>
  <dc:description/>
  <dc:language>en-US</dc:language>
  <cp:lastModifiedBy/>
  <dcterms:modified xsi:type="dcterms:W3CDTF">2026-10-02T11:23:38Z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